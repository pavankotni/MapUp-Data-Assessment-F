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91910\Downloads\"/>
    </mc:Choice>
  </mc:AlternateContent>
  <bookViews>
    <workbookView xWindow="0" yWindow="0" windowWidth="23040" windowHeight="8688" tabRatio="849" activeTab="1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15" l="1"/>
  <c r="C30" i="18" l="1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6" i="18"/>
  <c r="E6" i="18"/>
  <c r="D6" i="18"/>
  <c r="D7" i="18"/>
  <c r="E7" i="18"/>
  <c r="F7" i="18"/>
  <c r="D8" i="18"/>
  <c r="E8" i="18"/>
  <c r="F8" i="18"/>
  <c r="D9" i="18"/>
  <c r="E9" i="18"/>
  <c r="F9" i="18"/>
  <c r="D10" i="18"/>
  <c r="E10" i="18"/>
  <c r="F10" i="18"/>
  <c r="D11" i="18"/>
  <c r="E11" i="18"/>
  <c r="F11" i="18"/>
  <c r="D12" i="18"/>
  <c r="E12" i="18"/>
  <c r="F12" i="18"/>
  <c r="D13" i="18"/>
  <c r="E13" i="18"/>
  <c r="F13" i="18"/>
  <c r="D14" i="18"/>
  <c r="E14" i="18"/>
  <c r="F14" i="18"/>
  <c r="D15" i="18"/>
  <c r="E15" i="18"/>
  <c r="F15" i="18"/>
  <c r="D16" i="18"/>
  <c r="E16" i="18"/>
  <c r="F16" i="18"/>
  <c r="D17" i="18"/>
  <c r="E17" i="18"/>
  <c r="F17" i="18"/>
  <c r="D18" i="18"/>
  <c r="E18" i="18"/>
  <c r="F18" i="18"/>
  <c r="D19" i="18"/>
  <c r="E19" i="18"/>
  <c r="F19" i="18"/>
  <c r="D20" i="18"/>
  <c r="E20" i="18"/>
  <c r="F20" i="18"/>
  <c r="D21" i="18"/>
  <c r="E21" i="18"/>
  <c r="F21" i="18"/>
  <c r="D22" i="18"/>
  <c r="E22" i="18"/>
  <c r="F22" i="18"/>
  <c r="D23" i="18"/>
  <c r="E23" i="18"/>
  <c r="F23" i="18"/>
  <c r="D24" i="18"/>
  <c r="E24" i="18"/>
  <c r="F24" i="18"/>
  <c r="D25" i="18"/>
  <c r="E25" i="18"/>
  <c r="F25" i="18"/>
  <c r="D26" i="18"/>
  <c r="E26" i="18"/>
  <c r="F26" i="18"/>
  <c r="D27" i="18"/>
  <c r="E27" i="18"/>
  <c r="F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I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6" i="18"/>
  <c r="G24" i="20"/>
  <c r="C24" i="20" s="1"/>
  <c r="G25" i="20"/>
  <c r="G26" i="20"/>
  <c r="G27" i="20"/>
  <c r="C27" i="20" s="1"/>
  <c r="G28" i="20"/>
  <c r="C28" i="20" s="1"/>
  <c r="G29" i="20"/>
  <c r="G30" i="20"/>
  <c r="G31" i="20"/>
  <c r="G32" i="20"/>
  <c r="G33" i="20"/>
  <c r="G34" i="20"/>
  <c r="G35" i="20"/>
  <c r="C35" i="20" s="1"/>
  <c r="G23" i="20"/>
  <c r="C23" i="20" s="1"/>
  <c r="J6" i="18"/>
  <c r="K6" i="18"/>
  <c r="L6" i="18"/>
  <c r="M6" i="18"/>
  <c r="J7" i="18"/>
  <c r="K7" i="18"/>
  <c r="L7" i="18"/>
  <c r="M7" i="18"/>
  <c r="J8" i="18"/>
  <c r="K8" i="18"/>
  <c r="L8" i="18"/>
  <c r="M8" i="18"/>
  <c r="J9" i="18"/>
  <c r="K9" i="18"/>
  <c r="L9" i="18"/>
  <c r="M9" i="18"/>
  <c r="J10" i="18"/>
  <c r="K10" i="18"/>
  <c r="L10" i="18"/>
  <c r="M10" i="18"/>
  <c r="J11" i="18"/>
  <c r="K11" i="18"/>
  <c r="L11" i="18"/>
  <c r="M11" i="18"/>
  <c r="J12" i="18"/>
  <c r="K12" i="18"/>
  <c r="L12" i="18"/>
  <c r="M12" i="18"/>
  <c r="J13" i="18"/>
  <c r="K13" i="18"/>
  <c r="L13" i="18"/>
  <c r="M13" i="18"/>
  <c r="J14" i="18"/>
  <c r="K14" i="18"/>
  <c r="L14" i="18"/>
  <c r="M14" i="18"/>
  <c r="J15" i="18"/>
  <c r="K15" i="18"/>
  <c r="L15" i="18"/>
  <c r="M15" i="18"/>
  <c r="J16" i="18"/>
  <c r="K16" i="18"/>
  <c r="L16" i="18"/>
  <c r="M16" i="18"/>
  <c r="J17" i="18"/>
  <c r="K17" i="18"/>
  <c r="L17" i="18"/>
  <c r="M17" i="18"/>
  <c r="J18" i="18"/>
  <c r="K18" i="18"/>
  <c r="L18" i="18"/>
  <c r="M18" i="18"/>
  <c r="J19" i="18"/>
  <c r="K19" i="18"/>
  <c r="L19" i="18"/>
  <c r="M19" i="18"/>
  <c r="J20" i="18"/>
  <c r="K20" i="18"/>
  <c r="L20" i="18"/>
  <c r="M20" i="18"/>
  <c r="J21" i="18"/>
  <c r="K21" i="18"/>
  <c r="L21" i="18"/>
  <c r="M21" i="18"/>
  <c r="J22" i="18"/>
  <c r="K22" i="18"/>
  <c r="L22" i="18"/>
  <c r="M22" i="18"/>
  <c r="J23" i="18"/>
  <c r="K23" i="18"/>
  <c r="L23" i="18"/>
  <c r="M23" i="18"/>
  <c r="J24" i="18"/>
  <c r="K24" i="18"/>
  <c r="L24" i="18"/>
  <c r="M24" i="18"/>
  <c r="J25" i="18"/>
  <c r="K25" i="18"/>
  <c r="L25" i="18"/>
  <c r="M25" i="18"/>
  <c r="J26" i="18"/>
  <c r="K26" i="18"/>
  <c r="L26" i="18"/>
  <c r="M26" i="18"/>
  <c r="J27" i="18"/>
  <c r="K27" i="18"/>
  <c r="L27" i="18"/>
  <c r="M27" i="18"/>
  <c r="I7" i="18"/>
  <c r="I8" i="18"/>
  <c r="I9" i="18"/>
  <c r="I10" i="18"/>
  <c r="I11" i="18"/>
  <c r="I12" i="18"/>
  <c r="I13" i="18"/>
  <c r="I14" i="18"/>
  <c r="I15" i="18"/>
  <c r="I16" i="18"/>
  <c r="I17" i="18"/>
  <c r="I18" i="18"/>
  <c r="I19" i="18"/>
  <c r="I20" i="18"/>
  <c r="I21" i="18"/>
  <c r="I22" i="18"/>
  <c r="I23" i="18"/>
  <c r="I24" i="18"/>
  <c r="I25" i="18"/>
  <c r="I26" i="18"/>
  <c r="I27" i="18"/>
  <c r="C25" i="20"/>
  <c r="C26" i="20"/>
  <c r="C29" i="20"/>
  <c r="C30" i="20"/>
  <c r="C31" i="20"/>
  <c r="C32" i="20"/>
  <c r="C33" i="20"/>
  <c r="C34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23" i="20"/>
  <c r="C22" i="19"/>
  <c r="E23" i="20" l="1"/>
  <c r="E24" i="20"/>
  <c r="E25" i="20"/>
  <c r="E26" i="20"/>
  <c r="E27" i="20"/>
  <c r="E28" i="20"/>
  <c r="E29" i="20"/>
  <c r="E30" i="20"/>
  <c r="E31" i="20"/>
  <c r="E32" i="20"/>
  <c r="E33" i="20"/>
  <c r="E34" i="20"/>
  <c r="E35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23" i="20"/>
</calcChain>
</file>

<file path=xl/comments1.xml><?xml version="1.0" encoding="utf-8"?>
<comments xmlns="http://schemas.openxmlformats.org/spreadsheetml/2006/main">
  <authors>
    <author>91910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91910:</t>
        </r>
        <r>
          <rPr>
            <sz val="9"/>
            <color indexed="81"/>
            <rFont val="Tahoma"/>
            <family val="2"/>
          </rPr>
          <t xml:space="preserve">
Index function
</t>
        </r>
      </text>
    </comment>
  </commentList>
</comments>
</file>

<file path=xl/comments2.xml><?xml version="1.0" encoding="utf-8"?>
<comments xmlns="http://schemas.openxmlformats.org/spreadsheetml/2006/main">
  <authors>
    <author>91910</author>
  </authors>
  <commentList>
    <comment ref="C23" authorId="0" shapeId="0">
      <text>
        <r>
          <rPr>
            <b/>
            <sz val="9"/>
            <color indexed="81"/>
            <rFont val="Tahoma"/>
            <family val="2"/>
          </rPr>
          <t>91910:</t>
        </r>
        <r>
          <rPr>
            <sz val="9"/>
            <color indexed="81"/>
            <rFont val="Tahoma"/>
            <family val="2"/>
          </rPr>
          <t xml:space="preserve">
Index function</t>
        </r>
      </text>
    </comment>
  </commentList>
</comments>
</file>

<file path=xl/sharedStrings.xml><?xml version="1.0" encoding="utf-8"?>
<sst xmlns="http://schemas.openxmlformats.org/spreadsheetml/2006/main" count="416" uniqueCount="186">
  <si>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</si>
  <si>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</si>
  <si>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</si>
  <si>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</si>
  <si>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</si>
  <si>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</si>
  <si>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</si>
  <si>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</si>
  <si>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</si>
  <si>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</si>
  <si>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</si>
  <si>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</si>
  <si>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</si>
  <si>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</si>
  <si>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</si>
  <si>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</si>
  <si>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</si>
  <si>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</si>
  <si>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</si>
  <si>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</si>
  <si>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</si>
  <si>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</si>
  <si>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</si>
  <si>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</si>
  <si>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</si>
  <si>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</si>
  <si>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</si>
  <si>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</si>
  <si>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</si>
  <si>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</si>
  <si>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</si>
  <si>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</si>
  <si>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</si>
  <si>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</si>
  <si>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</si>
  <si>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</si>
  <si>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</si>
  <si>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</si>
  <si>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</si>
  <si>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</si>
  <si>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</si>
  <si>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</si>
  <si>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</si>
  <si>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</si>
  <si>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</si>
  <si>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</si>
  <si>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</si>
  <si>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</si>
  <si>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</si>
  <si>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</si>
  <si>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</si>
  <si>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</si>
  <si>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</si>
  <si>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</si>
  <si>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</si>
  <si>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</si>
  <si>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</si>
  <si>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</si>
  <si>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</si>
  <si>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</si>
  <si>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</si>
  <si>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</si>
  <si>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</si>
  <si>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</si>
  <si>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</si>
  <si>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</si>
  <si>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</si>
  <si>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</si>
  <si>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</si>
  <si>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</si>
  <si>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</si>
  <si>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</si>
  <si>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</si>
  <si>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</si>
  <si>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</si>
  <si>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</si>
  <si>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</si>
  <si>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</si>
  <si>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</si>
  <si>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</si>
  <si>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</si>
  <si>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</si>
  <si>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</si>
  <si>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</si>
  <si>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</si>
  <si>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</si>
  <si>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</si>
  <si>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</si>
  <si>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</si>
  <si>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</si>
  <si>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</si>
  <si>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</si>
  <si>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</si>
  <si>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</si>
  <si>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</si>
  <si>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</si>
  <si>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</si>
  <si>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</si>
  <si>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</si>
  <si>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</si>
  <si>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</si>
  <si>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</si>
  <si>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</si>
  <si>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</si>
  <si>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</si>
  <si>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</si>
  <si>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</si>
  <si>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</si>
  <si>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</si>
  <si>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</si>
  <si>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</si>
  <si>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</si>
  <si>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</si>
  <si>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</si>
  <si>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</si>
  <si>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</si>
  <si>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</si>
  <si>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</si>
  <si>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</si>
  <si>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</si>
  <si>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</si>
  <si>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</si>
  <si>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</si>
  <si>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</si>
  <si>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</si>
  <si>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</si>
  <si>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</si>
  <si>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</si>
  <si>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</si>
  <si>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</si>
  <si>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</si>
  <si>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</si>
  <si>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</si>
  <si>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</si>
  <si>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</si>
  <si>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</si>
  <si>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</si>
  <si>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</si>
  <si>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</si>
  <si>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</si>
  <si>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</si>
  <si>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</si>
  <si>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</si>
  <si>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</si>
  <si>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</si>
  <si>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</si>
  <si>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</si>
  <si>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</si>
  <si>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</si>
  <si>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</si>
  <si>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</si>
  <si>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</si>
  <si>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</si>
  <si>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</si>
  <si>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</si>
  <si>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</si>
  <si>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</si>
  <si>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</si>
  <si>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</si>
  <si>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</si>
  <si>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</si>
  <si>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</si>
  <si>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</si>
  <si>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</si>
  <si>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</si>
  <si>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</si>
  <si>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</si>
  <si>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</si>
  <si>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</si>
  <si>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</si>
  <si>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</si>
  <si>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</si>
  <si>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</si>
  <si>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</si>
  <si>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</si>
  <si>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</si>
  <si>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</si>
  <si>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All 20 values must be substituted with the value '20'</t>
  </si>
  <si>
    <t xml:space="preserve"> </t>
  </si>
  <si>
    <t>SUMIF(Dataset!H2:H40,"&gt;20")</t>
  </si>
  <si>
    <t>Match function</t>
  </si>
  <si>
    <t>go to data tab&gt;text_to_columns&gt;delimited&gt;seprated with other(-)&gt;next&gt;finish</t>
  </si>
  <si>
    <t>ctrl+f and replace #N/A with 20 and for sum use sum function is used</t>
  </si>
  <si>
    <t>vlookup</t>
  </si>
  <si>
    <t>Match</t>
  </si>
  <si>
    <t>Vllokup for getting the name of ID, match for the cell place and index is the value in the cell as my version doesn’t support Xlookup so I used this method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</si>
</sst>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h:mm:ss;@"/>
    <numFmt numFmtId="165" formatCode="yyyy\-mm\-dd;@"/>
    <numFmt numFmtId="166" formatCode="[$-14009]yyyy/mm/dd;@"/>
  </numFmts>
  <fonts count="20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5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166" fontId="3" fillId="0" borderId="0" xfId="0" applyNumberFormat="1" applyFont="1"/>
    <xf numFmtId="0" fontId="8" fillId="6" borderId="0" xfId="0" applyFont="1" applyFill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6"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4" x14ac:dyDescent="0.3">
      <c r="A4" s="2" t="s">
        <v>112</v>
      </c>
      <c r="C4" s="1"/>
    </row>
    <row r="5" spans="1:3" x14ac:dyDescent="0.3">
      <c r="A5" s="2" t="s">
        <v>153</v>
      </c>
    </row>
    <row r="8" spans="1:3" x14ac:dyDescent="0.3">
      <c r="A8" s="2" t="s">
        <v>173</v>
      </c>
    </row>
    <row r="9" spans="1:3" x14ac:dyDescent="0.3">
      <c r="A9" s="35" t="s">
        <v>171</v>
      </c>
      <c r="B9" s="25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0"/>
  <sheetViews>
    <sheetView tabSelected="1" zoomScaleNormal="100" workbookViewId="0">
      <pane ySplit="1" topLeftCell="A2" activePane="bottomLeft" state="frozen"/>
      <selection pane="bottomLeft" activeCell="L20" sqref="L20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0" width="14.6640625" style="1" customWidth="1"/>
    <col min="11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106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3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3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3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3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3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3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3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3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3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3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3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3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3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3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3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3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3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3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3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3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3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3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3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3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3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3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3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3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3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3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3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3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3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3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3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3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3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3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3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2:W40">
    <cfRule type="cellIs" dxfId="1" priority="1" operator="equal">
      <formula>-1</formula>
    </cfRule>
    <cfRule type="cellIs" dxfId="0" priority="2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4"/>
  <sheetViews>
    <sheetView zoomScaleNormal="100" workbookViewId="0">
      <selection activeCell="G5" sqref="G5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7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7" x14ac:dyDescent="0.3">
      <c r="A2" s="2"/>
      <c r="B2" s="5" t="s">
        <v>161</v>
      </c>
      <c r="C2" s="2"/>
    </row>
    <row r="3" spans="1:7" x14ac:dyDescent="0.3">
      <c r="A3" s="6">
        <v>1</v>
      </c>
      <c r="B3" s="2" t="s">
        <v>108</v>
      </c>
      <c r="C3" s="2" t="s">
        <v>45</v>
      </c>
      <c r="E3" s="1">
        <v>5</v>
      </c>
    </row>
    <row r="4" spans="1:7" x14ac:dyDescent="0.3">
      <c r="A4" s="6">
        <v>2</v>
      </c>
      <c r="B4" s="2" t="s">
        <v>46</v>
      </c>
      <c r="C4" s="2"/>
      <c r="E4" s="1">
        <v>5</v>
      </c>
    </row>
    <row r="5" spans="1:7" x14ac:dyDescent="0.3">
      <c r="A5" s="6">
        <v>3</v>
      </c>
      <c r="B5" s="2" t="s">
        <v>104</v>
      </c>
      <c r="C5" s="33" t="s">
        <v>105</v>
      </c>
      <c r="E5" s="1">
        <v>10</v>
      </c>
      <c r="F5" s="1">
        <f>SUMIF(Dataset!H2:H40,"&gt;20")</f>
        <v>1473.0000000000002</v>
      </c>
      <c r="G5" s="1" t="s">
        <v>179</v>
      </c>
    </row>
    <row r="6" spans="1:7" x14ac:dyDescent="0.3">
      <c r="A6" s="6">
        <v>4</v>
      </c>
      <c r="B6" s="2" t="s">
        <v>107</v>
      </c>
      <c r="C6" s="2"/>
      <c r="E6" s="1">
        <v>5</v>
      </c>
      <c r="F6" s="1" t="s">
        <v>178</v>
      </c>
    </row>
    <row r="7" spans="1:7" x14ac:dyDescent="0.3">
      <c r="A7" s="2"/>
      <c r="B7" s="2"/>
      <c r="C7" s="2"/>
    </row>
    <row r="13" spans="1:7" x14ac:dyDescent="0.3">
      <c r="E13" s="2"/>
    </row>
    <row r="14" spans="1:7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M30"/>
  <sheetViews>
    <sheetView zoomScaleNormal="100" workbookViewId="0">
      <selection activeCell="D18" sqref="D18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13" s="40" customFormat="1" ht="21" x14ac:dyDescent="0.4">
      <c r="A1" s="41" t="s">
        <v>55</v>
      </c>
      <c r="B1" s="40" t="s">
        <v>165</v>
      </c>
    </row>
    <row r="2" spans="1:13" s="40" customFormat="1" ht="21" x14ac:dyDescent="0.4">
      <c r="B2" s="40" t="s">
        <v>162</v>
      </c>
    </row>
    <row r="3" spans="1:13" ht="14.4" x14ac:dyDescent="0.3">
      <c r="A3" s="1"/>
      <c r="B3" s="1"/>
      <c r="C3" s="1"/>
      <c r="D3" s="1"/>
      <c r="E3" s="1"/>
      <c r="F3" s="1"/>
      <c r="G3" s="1"/>
    </row>
    <row r="4" spans="1:13" ht="23.4" x14ac:dyDescent="0.45">
      <c r="A4" s="17" t="s">
        <v>163</v>
      </c>
      <c r="B4" s="1"/>
      <c r="C4" s="1"/>
      <c r="D4" s="1"/>
      <c r="E4" s="1"/>
      <c r="F4" s="1"/>
      <c r="G4" s="1"/>
    </row>
    <row r="5" spans="1:13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  <c r="H5" s="2" t="s">
        <v>180</v>
      </c>
      <c r="I5" s="2" t="s">
        <v>180</v>
      </c>
      <c r="J5" s="2" t="s">
        <v>180</v>
      </c>
      <c r="K5" s="2" t="s">
        <v>180</v>
      </c>
      <c r="L5" s="2" t="s">
        <v>180</v>
      </c>
      <c r="M5" s="2" t="s">
        <v>180</v>
      </c>
    </row>
    <row r="6" spans="1:13" ht="14.4" x14ac:dyDescent="0.3">
      <c r="A6" s="7" t="s">
        <v>40</v>
      </c>
      <c r="B6" s="11">
        <f>INDEX(Dataset!$A$1:$X$40,Task_2!H6,Task_2!I6)</f>
        <v>2.7</v>
      </c>
      <c r="C6" s="11">
        <f>INDEX(Dataset!$A$1:$X$40,$H6,Task_2!J6)</f>
        <v>7.6</v>
      </c>
      <c r="D6" s="11">
        <f>INDEX(Dataset!$A$1:$X$40,$H6,Task_2!K6)</f>
        <v>4.2</v>
      </c>
      <c r="E6" s="11">
        <f>INDEX(Dataset!$A$1:$X$40,$H6,Task_2!L6)</f>
        <v>8.9</v>
      </c>
      <c r="F6" s="11">
        <f>INDEX(Dataset!$A$1:$X$40,$H6,Task_2!M6)</f>
        <v>4.2</v>
      </c>
      <c r="H6" s="2">
        <f>MATCH(A6,Dataset!$A$1:$A$40,0)</f>
        <v>2</v>
      </c>
      <c r="I6" s="2">
        <f>MATCH(B$5,Dataset!$A$1:$X$1,0)</f>
        <v>7</v>
      </c>
      <c r="J6" s="2">
        <f>MATCH(C$5,Dataset!$A$1:$X$1,0)</f>
        <v>14</v>
      </c>
      <c r="K6" s="2">
        <f>MATCH(D$5,Dataset!$A$1:$X$1,0)</f>
        <v>18</v>
      </c>
      <c r="L6" s="2">
        <f>MATCH(E$5,Dataset!$A$1:$X$1,0)</f>
        <v>20</v>
      </c>
      <c r="M6" s="2">
        <f>MATCH(F$5,Dataset!$A$1:$X$1,0)</f>
        <v>22</v>
      </c>
    </row>
    <row r="7" spans="1:13" ht="14.4" x14ac:dyDescent="0.3">
      <c r="A7" s="7" t="s">
        <v>4</v>
      </c>
      <c r="B7" s="11">
        <f>INDEX(Dataset!$A$1:$X$40,Task_2!H7,Task_2!I7)</f>
        <v>2.7</v>
      </c>
      <c r="C7" s="11">
        <f>INDEX(Dataset!$A$1:$X$40,$H7,Task_2!J7)</f>
        <v>7.6</v>
      </c>
      <c r="D7" s="11">
        <f>INDEX(Dataset!$A$1:$X$40,$H7,Task_2!K7)</f>
        <v>4.2</v>
      </c>
      <c r="E7" s="11">
        <f>INDEX(Dataset!$A$1:$X$40,$H7,Task_2!L7)</f>
        <v>8.9</v>
      </c>
      <c r="F7" s="11">
        <f>INDEX(Dataset!$A$1:$X$40,$H7,Task_2!M7)</f>
        <v>4.2</v>
      </c>
      <c r="H7" s="2">
        <f>MATCH(A7,Dataset!$A$1:$A$40,0)</f>
        <v>3</v>
      </c>
      <c r="I7" s="2">
        <f>MATCH(B$5,Dataset!$A$1:$X$1,0)</f>
        <v>7</v>
      </c>
      <c r="J7" s="2">
        <f>MATCH(C$5,Dataset!$A$1:$X$1,0)</f>
        <v>14</v>
      </c>
      <c r="K7" s="2">
        <f>MATCH(D$5,Dataset!$A$1:$X$1,0)</f>
        <v>18</v>
      </c>
      <c r="L7" s="2">
        <f>MATCH(E$5,Dataset!$A$1:$X$1,0)</f>
        <v>20</v>
      </c>
      <c r="M7" s="2">
        <f>MATCH(F$5,Dataset!$A$1:$X$1,0)</f>
        <v>22</v>
      </c>
    </row>
    <row r="8" spans="1:13" ht="14.4" x14ac:dyDescent="0.3">
      <c r="A8" s="7" t="s">
        <v>7</v>
      </c>
      <c r="B8" s="11">
        <f>INDEX(Dataset!$A$1:$X$40,Task_2!H8,Task_2!I8)</f>
        <v>3.6</v>
      </c>
      <c r="C8" s="11">
        <f>INDEX(Dataset!$A$1:$X$40,$H8,Task_2!J8)</f>
        <v>11.1</v>
      </c>
      <c r="D8" s="11">
        <f>INDEX(Dataset!$A$1:$X$40,$H8,Task_2!K8)</f>
        <v>5.8</v>
      </c>
      <c r="E8" s="11">
        <f>INDEX(Dataset!$A$1:$X$40,$H8,Task_2!L8)</f>
        <v>12.2</v>
      </c>
      <c r="F8" s="11">
        <f>INDEX(Dataset!$A$1:$X$40,$H8,Task_2!M8)</f>
        <v>5.8</v>
      </c>
      <c r="H8" s="2">
        <f>MATCH(A8,Dataset!$A$1:$A$40,0)</f>
        <v>4</v>
      </c>
      <c r="I8" s="2">
        <f>MATCH(B$5,Dataset!$A$1:$X$1,0)</f>
        <v>7</v>
      </c>
      <c r="J8" s="2">
        <f>MATCH(C$5,Dataset!$A$1:$X$1,0)</f>
        <v>14</v>
      </c>
      <c r="K8" s="2">
        <f>MATCH(D$5,Dataset!$A$1:$X$1,0)</f>
        <v>18</v>
      </c>
      <c r="L8" s="2">
        <f>MATCH(E$5,Dataset!$A$1:$X$1,0)</f>
        <v>20</v>
      </c>
      <c r="M8" s="2">
        <f>MATCH(F$5,Dataset!$A$1:$X$1,0)</f>
        <v>22</v>
      </c>
    </row>
    <row r="9" spans="1:13" ht="14.4" x14ac:dyDescent="0.3">
      <c r="A9" s="7" t="s">
        <v>8</v>
      </c>
      <c r="B9" s="11">
        <f>INDEX(Dataset!$A$1:$X$40,Task_2!H9,Task_2!I9)</f>
        <v>4.9000000000000004</v>
      </c>
      <c r="C9" s="11">
        <f>INDEX(Dataset!$A$1:$X$40,$H9,Task_2!J9)</f>
        <v>13.3</v>
      </c>
      <c r="D9" s="11">
        <f>INDEX(Dataset!$A$1:$X$40,$H9,Task_2!K9)</f>
        <v>8.1</v>
      </c>
      <c r="E9" s="11">
        <f>INDEX(Dataset!$A$1:$X$40,$H9,Task_2!L9)</f>
        <v>17</v>
      </c>
      <c r="F9" s="11">
        <f>INDEX(Dataset!$A$1:$X$40,$H9,Task_2!M9)</f>
        <v>8.1</v>
      </c>
      <c r="H9" s="2">
        <f>MATCH(A9,Dataset!$A$1:$A$40,0)</f>
        <v>5</v>
      </c>
      <c r="I9" s="2">
        <f>MATCH(B$5,Dataset!$A$1:$X$1,0)</f>
        <v>7</v>
      </c>
      <c r="J9" s="2">
        <f>MATCH(C$5,Dataset!$A$1:$X$1,0)</f>
        <v>14</v>
      </c>
      <c r="K9" s="2">
        <f>MATCH(D$5,Dataset!$A$1:$X$1,0)</f>
        <v>18</v>
      </c>
      <c r="L9" s="2">
        <f>MATCH(E$5,Dataset!$A$1:$X$1,0)</f>
        <v>20</v>
      </c>
      <c r="M9" s="2">
        <f>MATCH(F$5,Dataset!$A$1:$X$1,0)</f>
        <v>22</v>
      </c>
    </row>
    <row r="10" spans="1:13" ht="14.4" x14ac:dyDescent="0.3">
      <c r="A10" s="7" t="s">
        <v>11</v>
      </c>
      <c r="B10" s="11">
        <f>INDEX(Dataset!$A$1:$X$40,Task_2!H10,Task_2!I10)</f>
        <v>9.4</v>
      </c>
      <c r="C10" s="11">
        <f>INDEX(Dataset!$A$1:$X$40,$H10,Task_2!J10)</f>
        <v>28.3</v>
      </c>
      <c r="D10" s="11">
        <f>INDEX(Dataset!$A$1:$X$40,$H10,Task_2!K10)</f>
        <v>16.100000000000001</v>
      </c>
      <c r="E10" s="11">
        <f>INDEX(Dataset!$A$1:$X$40,$H10,Task_2!L10)</f>
        <v>32.799999999999997</v>
      </c>
      <c r="F10" s="11">
        <f>INDEX(Dataset!$A$1:$X$40,$H10,Task_2!M10)</f>
        <v>16.100000000000001</v>
      </c>
      <c r="H10" s="2">
        <f>MATCH(A10,Dataset!$A$1:$A$40,0)</f>
        <v>8</v>
      </c>
      <c r="I10" s="2">
        <f>MATCH(B$5,Dataset!$A$1:$X$1,0)</f>
        <v>7</v>
      </c>
      <c r="J10" s="2">
        <f>MATCH(C$5,Dataset!$A$1:$X$1,0)</f>
        <v>14</v>
      </c>
      <c r="K10" s="2">
        <f>MATCH(D$5,Dataset!$A$1:$X$1,0)</f>
        <v>18</v>
      </c>
      <c r="L10" s="2">
        <f>MATCH(E$5,Dataset!$A$1:$X$1,0)</f>
        <v>20</v>
      </c>
      <c r="M10" s="2">
        <f>MATCH(F$5,Dataset!$A$1:$X$1,0)</f>
        <v>22</v>
      </c>
    </row>
    <row r="11" spans="1:13" ht="14.4" x14ac:dyDescent="0.3">
      <c r="A11" s="7" t="s">
        <v>12</v>
      </c>
      <c r="B11" s="11">
        <f>INDEX(Dataset!$A$1:$X$40,Task_2!H11,Task_2!I11)</f>
        <v>11.6</v>
      </c>
      <c r="C11" s="11">
        <f>INDEX(Dataset!$A$1:$X$40,$H11,Task_2!J11)</f>
        <v>35.200000000000003</v>
      </c>
      <c r="D11" s="11">
        <f>INDEX(Dataset!$A$1:$X$40,$H11,Task_2!K11)</f>
        <v>21.3</v>
      </c>
      <c r="E11" s="11">
        <f>INDEX(Dataset!$A$1:$X$40,$H11,Task_2!L11)</f>
        <v>43</v>
      </c>
      <c r="F11" s="11">
        <f>INDEX(Dataset!$A$1:$X$40,$H11,Task_2!M11)</f>
        <v>21.3</v>
      </c>
      <c r="H11" s="2">
        <f>MATCH(A11,Dataset!$A$1:$A$40,0)</f>
        <v>9</v>
      </c>
      <c r="I11" s="2">
        <f>MATCH(B$5,Dataset!$A$1:$X$1,0)</f>
        <v>7</v>
      </c>
      <c r="J11" s="2">
        <f>MATCH(C$5,Dataset!$A$1:$X$1,0)</f>
        <v>14</v>
      </c>
      <c r="K11" s="2">
        <f>MATCH(D$5,Dataset!$A$1:$X$1,0)</f>
        <v>18</v>
      </c>
      <c r="L11" s="2">
        <f>MATCH(E$5,Dataset!$A$1:$X$1,0)</f>
        <v>20</v>
      </c>
      <c r="M11" s="2">
        <f>MATCH(F$5,Dataset!$A$1:$X$1,0)</f>
        <v>22</v>
      </c>
    </row>
    <row r="12" spans="1:13" ht="14.4" x14ac:dyDescent="0.3">
      <c r="A12" s="7" t="s">
        <v>14</v>
      </c>
      <c r="B12" s="11">
        <f>INDEX(Dataset!$A$1:$X$40,Task_2!H12,Task_2!I12)</f>
        <v>18.399999999999999</v>
      </c>
      <c r="C12" s="11">
        <f>INDEX(Dataset!$A$1:$X$40,$H12,Task_2!J12)</f>
        <v>55.6</v>
      </c>
      <c r="D12" s="11">
        <f>INDEX(Dataset!$A$1:$X$40,$H12,Task_2!K12)</f>
        <v>33.799999999999997</v>
      </c>
      <c r="E12" s="11">
        <f>INDEX(Dataset!$A$1:$X$40,$H12,Task_2!L12)</f>
        <v>67.900000000000006</v>
      </c>
      <c r="F12" s="11">
        <f>INDEX(Dataset!$A$1:$X$40,$H12,Task_2!M12)</f>
        <v>33.799999999999997</v>
      </c>
      <c r="H12" s="2">
        <f>MATCH(A12,Dataset!$A$1:$A$40,0)</f>
        <v>11</v>
      </c>
      <c r="I12" s="2">
        <f>MATCH(B$5,Dataset!$A$1:$X$1,0)</f>
        <v>7</v>
      </c>
      <c r="J12" s="2">
        <f>MATCH(C$5,Dataset!$A$1:$X$1,0)</f>
        <v>14</v>
      </c>
      <c r="K12" s="2">
        <f>MATCH(D$5,Dataset!$A$1:$X$1,0)</f>
        <v>18</v>
      </c>
      <c r="L12" s="2">
        <f>MATCH(E$5,Dataset!$A$1:$X$1,0)</f>
        <v>20</v>
      </c>
      <c r="M12" s="2">
        <f>MATCH(F$5,Dataset!$A$1:$X$1,0)</f>
        <v>22</v>
      </c>
    </row>
    <row r="13" spans="1:13" ht="14.4" x14ac:dyDescent="0.3">
      <c r="A13" s="7" t="s">
        <v>15</v>
      </c>
      <c r="B13" s="11">
        <f>INDEX(Dataset!$A$1:$X$40,Task_2!H13,Task_2!I13)</f>
        <v>0</v>
      </c>
      <c r="C13" s="11">
        <f>INDEX(Dataset!$A$1:$X$40,$H13,Task_2!J13)</f>
        <v>0</v>
      </c>
      <c r="D13" s="11">
        <f>INDEX(Dataset!$A$1:$X$40,$H13,Task_2!K13)</f>
        <v>0</v>
      </c>
      <c r="E13" s="11">
        <f>INDEX(Dataset!$A$1:$X$40,$H13,Task_2!L13)</f>
        <v>0</v>
      </c>
      <c r="F13" s="11">
        <f>INDEX(Dataset!$A$1:$X$40,$H13,Task_2!M13)</f>
        <v>0</v>
      </c>
      <c r="H13" s="2">
        <f>MATCH(A13,Dataset!$A$1:$A$40,0)</f>
        <v>12</v>
      </c>
      <c r="I13" s="2">
        <f>MATCH(B$5,Dataset!$A$1:$X$1,0)</f>
        <v>7</v>
      </c>
      <c r="J13" s="2">
        <f>MATCH(C$5,Dataset!$A$1:$X$1,0)</f>
        <v>14</v>
      </c>
      <c r="K13" s="2">
        <f>MATCH(D$5,Dataset!$A$1:$X$1,0)</f>
        <v>18</v>
      </c>
      <c r="L13" s="2">
        <f>MATCH(E$5,Dataset!$A$1:$X$1,0)</f>
        <v>20</v>
      </c>
      <c r="M13" s="2">
        <f>MATCH(F$5,Dataset!$A$1:$X$1,0)</f>
        <v>22</v>
      </c>
    </row>
    <row r="14" spans="1:13" ht="14.4" x14ac:dyDescent="0.3">
      <c r="A14" s="7" t="s">
        <v>16</v>
      </c>
      <c r="B14" s="11">
        <f>INDEX(Dataset!$A$1:$X$40,Task_2!H14,Task_2!I14)</f>
        <v>21.9</v>
      </c>
      <c r="C14" s="11">
        <f>INDEX(Dataset!$A$1:$X$40,$H14,Task_2!J14)</f>
        <v>61.5</v>
      </c>
      <c r="D14" s="11">
        <f>INDEX(Dataset!$A$1:$X$40,$H14,Task_2!K14)</f>
        <v>40.1</v>
      </c>
      <c r="E14" s="11">
        <f>INDEX(Dataset!$A$1:$X$40,$H14,Task_2!L14)</f>
        <v>76.599999999999994</v>
      </c>
      <c r="F14" s="11">
        <f>INDEX(Dataset!$A$1:$X$40,$H14,Task_2!M14)</f>
        <v>40.1</v>
      </c>
      <c r="H14" s="2">
        <f>MATCH(A14,Dataset!$A$1:$A$40,0)</f>
        <v>13</v>
      </c>
      <c r="I14" s="2">
        <f>MATCH(B$5,Dataset!$A$1:$X$1,0)</f>
        <v>7</v>
      </c>
      <c r="J14" s="2">
        <f>MATCH(C$5,Dataset!$A$1:$X$1,0)</f>
        <v>14</v>
      </c>
      <c r="K14" s="2">
        <f>MATCH(D$5,Dataset!$A$1:$X$1,0)</f>
        <v>18</v>
      </c>
      <c r="L14" s="2">
        <f>MATCH(E$5,Dataset!$A$1:$X$1,0)</f>
        <v>20</v>
      </c>
      <c r="M14" s="2">
        <f>MATCH(F$5,Dataset!$A$1:$X$1,0)</f>
        <v>22</v>
      </c>
    </row>
    <row r="15" spans="1:13" ht="14.4" x14ac:dyDescent="0.3">
      <c r="A15" s="7" t="s">
        <v>18</v>
      </c>
      <c r="B15" s="11">
        <f>INDEX(Dataset!$A$1:$X$40,Task_2!H15,Task_2!I15)</f>
        <v>26.8</v>
      </c>
      <c r="C15" s="11">
        <f>INDEX(Dataset!$A$1:$X$40,$H15,Task_2!J15)</f>
        <v>79.599999999999994</v>
      </c>
      <c r="D15" s="11">
        <f>INDEX(Dataset!$A$1:$X$40,$H15,Task_2!K15)</f>
        <v>47.9</v>
      </c>
      <c r="E15" s="11">
        <f>INDEX(Dataset!$A$1:$X$40,$H15,Task_2!L15)</f>
        <v>96.8</v>
      </c>
      <c r="F15" s="11">
        <f>INDEX(Dataset!$A$1:$X$40,$H15,Task_2!M15)</f>
        <v>47.9</v>
      </c>
      <c r="H15" s="2">
        <f>MATCH(A15,Dataset!$A$1:$A$40,0)</f>
        <v>15</v>
      </c>
      <c r="I15" s="2">
        <f>MATCH(B$5,Dataset!$A$1:$X$1,0)</f>
        <v>7</v>
      </c>
      <c r="J15" s="2">
        <f>MATCH(C$5,Dataset!$A$1:$X$1,0)</f>
        <v>14</v>
      </c>
      <c r="K15" s="2">
        <f>MATCH(D$5,Dataset!$A$1:$X$1,0)</f>
        <v>18</v>
      </c>
      <c r="L15" s="2">
        <f>MATCH(E$5,Dataset!$A$1:$X$1,0)</f>
        <v>20</v>
      </c>
      <c r="M15" s="2">
        <f>MATCH(F$5,Dataset!$A$1:$X$1,0)</f>
        <v>22</v>
      </c>
    </row>
    <row r="16" spans="1:13" ht="14.4" x14ac:dyDescent="0.3">
      <c r="A16" s="7" t="s">
        <v>20</v>
      </c>
      <c r="B16" s="11">
        <f>INDEX(Dataset!$A$1:$X$40,Task_2!H16,Task_2!I16)</f>
        <v>28.5</v>
      </c>
      <c r="C16" s="11">
        <f>INDEX(Dataset!$A$1:$X$40,$H16,Task_2!J16)</f>
        <v>85.4</v>
      </c>
      <c r="D16" s="11">
        <f>INDEX(Dataset!$A$1:$X$40,$H16,Task_2!K16)</f>
        <v>52.3</v>
      </c>
      <c r="E16" s="11">
        <f>INDEX(Dataset!$A$1:$X$40,$H16,Task_2!L16)</f>
        <v>106.1</v>
      </c>
      <c r="F16" s="11">
        <f>INDEX(Dataset!$A$1:$X$40,$H16,Task_2!M16)</f>
        <v>52.3</v>
      </c>
      <c r="H16" s="2">
        <f>MATCH(A16,Dataset!$A$1:$A$40,0)</f>
        <v>17</v>
      </c>
      <c r="I16" s="2">
        <f>MATCH(B$5,Dataset!$A$1:$X$1,0)</f>
        <v>7</v>
      </c>
      <c r="J16" s="2">
        <f>MATCH(C$5,Dataset!$A$1:$X$1,0)</f>
        <v>14</v>
      </c>
      <c r="K16" s="2">
        <f>MATCH(D$5,Dataset!$A$1:$X$1,0)</f>
        <v>18</v>
      </c>
      <c r="L16" s="2">
        <f>MATCH(E$5,Dataset!$A$1:$X$1,0)</f>
        <v>20</v>
      </c>
      <c r="M16" s="2">
        <f>MATCH(F$5,Dataset!$A$1:$X$1,0)</f>
        <v>22</v>
      </c>
    </row>
    <row r="17" spans="1:13" ht="14.4" x14ac:dyDescent="0.3">
      <c r="A17" s="7" t="s">
        <v>22</v>
      </c>
      <c r="B17" s="11">
        <f>INDEX(Dataset!$A$1:$X$40,Task_2!H17,Task_2!I17)</f>
        <v>30.7</v>
      </c>
      <c r="C17" s="11">
        <f>INDEX(Dataset!$A$1:$X$40,$H17,Task_2!J17)</f>
        <v>92.1</v>
      </c>
      <c r="D17" s="11">
        <f>INDEX(Dataset!$A$1:$X$40,$H17,Task_2!K17)</f>
        <v>57</v>
      </c>
      <c r="E17" s="11">
        <f>INDEX(Dataset!$A$1:$X$40,$H17,Task_2!L17)</f>
        <v>115.1</v>
      </c>
      <c r="F17" s="11">
        <f>INDEX(Dataset!$A$1:$X$40,$H17,Task_2!M17)</f>
        <v>57</v>
      </c>
      <c r="H17" s="2">
        <f>MATCH(A17,Dataset!$A$1:$A$40,0)</f>
        <v>19</v>
      </c>
      <c r="I17" s="2">
        <f>MATCH(B$5,Dataset!$A$1:$X$1,0)</f>
        <v>7</v>
      </c>
      <c r="J17" s="2">
        <f>MATCH(C$5,Dataset!$A$1:$X$1,0)</f>
        <v>14</v>
      </c>
      <c r="K17" s="2">
        <f>MATCH(D$5,Dataset!$A$1:$X$1,0)</f>
        <v>18</v>
      </c>
      <c r="L17" s="2">
        <f>MATCH(E$5,Dataset!$A$1:$X$1,0)</f>
        <v>20</v>
      </c>
      <c r="M17" s="2">
        <f>MATCH(F$5,Dataset!$A$1:$X$1,0)</f>
        <v>22</v>
      </c>
    </row>
    <row r="18" spans="1:13" ht="14.4" x14ac:dyDescent="0.3">
      <c r="A18" s="7" t="s">
        <v>23</v>
      </c>
      <c r="B18" s="11">
        <f>INDEX(Dataset!$A$1:$X$40,Task_2!H18,Task_2!I18)</f>
        <v>33.799999999999997</v>
      </c>
      <c r="C18" s="11">
        <f>INDEX(Dataset!$A$1:$X$40,$H18,Task_2!J18)</f>
        <v>101.3</v>
      </c>
      <c r="D18" s="11">
        <f>INDEX(Dataset!$A$1:$X$40,$H18,Task_2!K18)</f>
        <v>61.4</v>
      </c>
      <c r="E18" s="11">
        <f>INDEX(Dataset!$A$1:$X$40,$H18,Task_2!L18)</f>
        <v>124.4</v>
      </c>
      <c r="F18" s="11">
        <f>INDEX(Dataset!$A$1:$X$40,$H18,Task_2!M18)</f>
        <v>61.4</v>
      </c>
      <c r="H18" s="2">
        <f>MATCH(A18,Dataset!$A$1:$A$40,0)</f>
        <v>20</v>
      </c>
      <c r="I18" s="2">
        <f>MATCH(B$5,Dataset!$A$1:$X$1,0)</f>
        <v>7</v>
      </c>
      <c r="J18" s="2">
        <f>MATCH(C$5,Dataset!$A$1:$X$1,0)</f>
        <v>14</v>
      </c>
      <c r="K18" s="2">
        <f>MATCH(D$5,Dataset!$A$1:$X$1,0)</f>
        <v>18</v>
      </c>
      <c r="L18" s="2">
        <f>MATCH(E$5,Dataset!$A$1:$X$1,0)</f>
        <v>20</v>
      </c>
      <c r="M18" s="2">
        <f>MATCH(F$5,Dataset!$A$1:$X$1,0)</f>
        <v>22</v>
      </c>
    </row>
    <row r="19" spans="1:13" ht="14.4" x14ac:dyDescent="0.3">
      <c r="A19" s="7" t="s">
        <v>24</v>
      </c>
      <c r="B19" s="11">
        <f>INDEX(Dataset!$A$1:$X$40,Task_2!H19,Task_2!I19)</f>
        <v>34.700000000000003</v>
      </c>
      <c r="C19" s="11">
        <f>INDEX(Dataset!$A$1:$X$40,$H19,Task_2!J19)</f>
        <v>106.1</v>
      </c>
      <c r="D19" s="11">
        <f>INDEX(Dataset!$A$1:$X$40,$H19,Task_2!K19)</f>
        <v>63.6</v>
      </c>
      <c r="E19" s="11">
        <f>INDEX(Dataset!$A$1:$X$40,$H19,Task_2!L19)</f>
        <v>128.6</v>
      </c>
      <c r="F19" s="11">
        <f>INDEX(Dataset!$A$1:$X$40,$H19,Task_2!M19)</f>
        <v>63.6</v>
      </c>
      <c r="H19" s="2">
        <f>MATCH(A19,Dataset!$A$1:$A$40,0)</f>
        <v>21</v>
      </c>
      <c r="I19" s="2">
        <f>MATCH(B$5,Dataset!$A$1:$X$1,0)</f>
        <v>7</v>
      </c>
      <c r="J19" s="2">
        <f>MATCH(C$5,Dataset!$A$1:$X$1,0)</f>
        <v>14</v>
      </c>
      <c r="K19" s="2">
        <f>MATCH(D$5,Dataset!$A$1:$X$1,0)</f>
        <v>18</v>
      </c>
      <c r="L19" s="2">
        <f>MATCH(E$5,Dataset!$A$1:$X$1,0)</f>
        <v>20</v>
      </c>
      <c r="M19" s="2">
        <f>MATCH(F$5,Dataset!$A$1:$X$1,0)</f>
        <v>22</v>
      </c>
    </row>
    <row r="20" spans="1:13" ht="14.4" x14ac:dyDescent="0.3">
      <c r="A20" s="7" t="s">
        <v>28</v>
      </c>
      <c r="B20" s="11">
        <f>INDEX(Dataset!$A$1:$X$40,Task_2!H20,Task_2!I20)</f>
        <v>0</v>
      </c>
      <c r="C20" s="11">
        <f>INDEX(Dataset!$A$1:$X$40,$H20,Task_2!J20)</f>
        <v>0</v>
      </c>
      <c r="D20" s="11">
        <f>INDEX(Dataset!$A$1:$X$40,$H20,Task_2!K20)</f>
        <v>0</v>
      </c>
      <c r="E20" s="11">
        <f>INDEX(Dataset!$A$1:$X$40,$H20,Task_2!L20)</f>
        <v>0</v>
      </c>
      <c r="F20" s="11">
        <f>INDEX(Dataset!$A$1:$X$40,$H20,Task_2!M20)</f>
        <v>0</v>
      </c>
      <c r="H20" s="2">
        <f>MATCH(A20,Dataset!$A$1:$A$40,0)</f>
        <v>26</v>
      </c>
      <c r="I20" s="2">
        <f>MATCH(B$5,Dataset!$A$1:$X$1,0)</f>
        <v>7</v>
      </c>
      <c r="J20" s="2">
        <f>MATCH(C$5,Dataset!$A$1:$X$1,0)</f>
        <v>14</v>
      </c>
      <c r="K20" s="2">
        <f>MATCH(D$5,Dataset!$A$1:$X$1,0)</f>
        <v>18</v>
      </c>
      <c r="L20" s="2">
        <f>MATCH(E$5,Dataset!$A$1:$X$1,0)</f>
        <v>20</v>
      </c>
      <c r="M20" s="2">
        <f>MATCH(F$5,Dataset!$A$1:$X$1,0)</f>
        <v>22</v>
      </c>
    </row>
    <row r="21" spans="1:13" ht="14.4" x14ac:dyDescent="0.3">
      <c r="A21" s="7" t="s">
        <v>57</v>
      </c>
      <c r="B21" s="11">
        <f>INDEX(Dataset!$A$1:$X$40,Task_2!H21,Task_2!I21)</f>
        <v>41.3</v>
      </c>
      <c r="C21" s="11">
        <f>INDEX(Dataset!$A$1:$X$40,$H21,Task_2!J21)</f>
        <v>124.4</v>
      </c>
      <c r="D21" s="11">
        <f>INDEX(Dataset!$A$1:$X$40,$H21,Task_2!K21)</f>
        <v>75</v>
      </c>
      <c r="E21" s="11">
        <f>INDEX(Dataset!$A$1:$X$40,$H21,Task_2!L21)</f>
        <v>151.5</v>
      </c>
      <c r="F21" s="11">
        <f>INDEX(Dataset!$A$1:$X$40,$H21,Task_2!M21)</f>
        <v>75</v>
      </c>
      <c r="H21" s="2">
        <f>MATCH(A21,Dataset!$A$1:$A$40,0)</f>
        <v>27</v>
      </c>
      <c r="I21" s="2">
        <f>MATCH(B$5,Dataset!$A$1:$X$1,0)</f>
        <v>7</v>
      </c>
      <c r="J21" s="2">
        <f>MATCH(C$5,Dataset!$A$1:$X$1,0)</f>
        <v>14</v>
      </c>
      <c r="K21" s="2">
        <f>MATCH(D$5,Dataset!$A$1:$X$1,0)</f>
        <v>18</v>
      </c>
      <c r="L21" s="2">
        <f>MATCH(E$5,Dataset!$A$1:$X$1,0)</f>
        <v>20</v>
      </c>
      <c r="M21" s="2">
        <f>MATCH(F$5,Dataset!$A$1:$X$1,0)</f>
        <v>22</v>
      </c>
    </row>
    <row r="22" spans="1:13" ht="14.4" x14ac:dyDescent="0.3">
      <c r="A22" s="7" t="s">
        <v>58</v>
      </c>
      <c r="B22" s="11">
        <f>INDEX(Dataset!$A$1:$X$40,Task_2!H22,Task_2!I22)</f>
        <v>-1</v>
      </c>
      <c r="C22" s="11">
        <f>INDEX(Dataset!$A$1:$X$40,$H22,Task_2!J22)</f>
        <v>-1</v>
      </c>
      <c r="D22" s="11">
        <f>INDEX(Dataset!$A$1:$X$40,$H22,Task_2!K22)</f>
        <v>-1</v>
      </c>
      <c r="E22" s="11">
        <f>INDEX(Dataset!$A$1:$X$40,$H22,Task_2!L22)</f>
        <v>-1</v>
      </c>
      <c r="F22" s="11">
        <f>INDEX(Dataset!$A$1:$X$40,$H22,Task_2!M22)</f>
        <v>-1</v>
      </c>
      <c r="H22" s="2">
        <f>MATCH(A22,Dataset!$A$1:$A$40,0)</f>
        <v>30</v>
      </c>
      <c r="I22" s="2">
        <f>MATCH(B$5,Dataset!$A$1:$X$1,0)</f>
        <v>7</v>
      </c>
      <c r="J22" s="2">
        <f>MATCH(C$5,Dataset!$A$1:$X$1,0)</f>
        <v>14</v>
      </c>
      <c r="K22" s="2">
        <f>MATCH(D$5,Dataset!$A$1:$X$1,0)</f>
        <v>18</v>
      </c>
      <c r="L22" s="2">
        <f>MATCH(E$5,Dataset!$A$1:$X$1,0)</f>
        <v>20</v>
      </c>
      <c r="M22" s="2">
        <f>MATCH(F$5,Dataset!$A$1:$X$1,0)</f>
        <v>22</v>
      </c>
    </row>
    <row r="23" spans="1:13" ht="14.4" x14ac:dyDescent="0.3">
      <c r="A23" s="7" t="s">
        <v>31</v>
      </c>
      <c r="B23" s="11">
        <f>INDEX(Dataset!$A$1:$X$40,Task_2!H23,Task_2!I23)</f>
        <v>45</v>
      </c>
      <c r="C23" s="11">
        <f>INDEX(Dataset!$A$1:$X$40,$H23,Task_2!J23)</f>
        <v>133.4</v>
      </c>
      <c r="D23" s="11">
        <f>INDEX(Dataset!$A$1:$X$40,$H23,Task_2!K23)</f>
        <v>79.400000000000006</v>
      </c>
      <c r="E23" s="11">
        <f>INDEX(Dataset!$A$1:$X$40,$H23,Task_2!L23)</f>
        <v>160.9</v>
      </c>
      <c r="F23" s="11">
        <f>INDEX(Dataset!$A$1:$X$40,$H23,Task_2!M23)</f>
        <v>79.400000000000006</v>
      </c>
      <c r="H23" s="2">
        <f>MATCH(A23,Dataset!$A$1:$A$40,0)</f>
        <v>31</v>
      </c>
      <c r="I23" s="2">
        <f>MATCH(B$5,Dataset!$A$1:$X$1,0)</f>
        <v>7</v>
      </c>
      <c r="J23" s="2">
        <f>MATCH(C$5,Dataset!$A$1:$X$1,0)</f>
        <v>14</v>
      </c>
      <c r="K23" s="2">
        <f>MATCH(D$5,Dataset!$A$1:$X$1,0)</f>
        <v>18</v>
      </c>
      <c r="L23" s="2">
        <f>MATCH(E$5,Dataset!$A$1:$X$1,0)</f>
        <v>20</v>
      </c>
      <c r="M23" s="2">
        <f>MATCH(F$5,Dataset!$A$1:$X$1,0)</f>
        <v>22</v>
      </c>
    </row>
    <row r="24" spans="1:13" ht="14.4" x14ac:dyDescent="0.3">
      <c r="A24" s="7" t="s">
        <v>32</v>
      </c>
      <c r="B24" s="11">
        <f>INDEX(Dataset!$A$1:$X$40,Task_2!H24,Task_2!I24)</f>
        <v>-1</v>
      </c>
      <c r="C24" s="11">
        <f>INDEX(Dataset!$A$1:$X$40,$H24,Task_2!J24)</f>
        <v>-1</v>
      </c>
      <c r="D24" s="11">
        <f>INDEX(Dataset!$A$1:$X$40,$H24,Task_2!K24)</f>
        <v>-1</v>
      </c>
      <c r="E24" s="11">
        <f>INDEX(Dataset!$A$1:$X$40,$H24,Task_2!L24)</f>
        <v>-1</v>
      </c>
      <c r="F24" s="11">
        <f>INDEX(Dataset!$A$1:$X$40,$H24,Task_2!M24)</f>
        <v>-1</v>
      </c>
      <c r="H24" s="2">
        <f>MATCH(A24,Dataset!$A$1:$A$40,0)</f>
        <v>32</v>
      </c>
      <c r="I24" s="2">
        <f>MATCH(B$5,Dataset!$A$1:$X$1,0)</f>
        <v>7</v>
      </c>
      <c r="J24" s="2">
        <f>MATCH(C$5,Dataset!$A$1:$X$1,0)</f>
        <v>14</v>
      </c>
      <c r="K24" s="2">
        <f>MATCH(D$5,Dataset!$A$1:$X$1,0)</f>
        <v>18</v>
      </c>
      <c r="L24" s="2">
        <f>MATCH(E$5,Dataset!$A$1:$X$1,0)</f>
        <v>20</v>
      </c>
      <c r="M24" s="2">
        <f>MATCH(F$5,Dataset!$A$1:$X$1,0)</f>
        <v>22</v>
      </c>
    </row>
    <row r="25" spans="1:13" ht="14.4" x14ac:dyDescent="0.3">
      <c r="A25" s="7" t="s">
        <v>34</v>
      </c>
      <c r="B25" s="11">
        <f>INDEX(Dataset!$A$1:$X$40,Task_2!H25,Task_2!I25)</f>
        <v>43.3</v>
      </c>
      <c r="C25" s="11">
        <f>INDEX(Dataset!$A$1:$X$40,$H25,Task_2!J25)</f>
        <v>128.6</v>
      </c>
      <c r="D25" s="11">
        <f>INDEX(Dataset!$A$1:$X$40,$H25,Task_2!K25)</f>
        <v>79.400000000000006</v>
      </c>
      <c r="E25" s="11">
        <f>INDEX(Dataset!$A$1:$X$40,$H25,Task_2!L25)</f>
        <v>160.9</v>
      </c>
      <c r="F25" s="11">
        <f>INDEX(Dataset!$A$1:$X$40,$H25,Task_2!M25)</f>
        <v>79.400000000000006</v>
      </c>
      <c r="H25" s="2">
        <f>MATCH(A25,Dataset!$A$1:$A$40,0)</f>
        <v>34</v>
      </c>
      <c r="I25" s="2">
        <f>MATCH(B$5,Dataset!$A$1:$X$1,0)</f>
        <v>7</v>
      </c>
      <c r="J25" s="2">
        <f>MATCH(C$5,Dataset!$A$1:$X$1,0)</f>
        <v>14</v>
      </c>
      <c r="K25" s="2">
        <f>MATCH(D$5,Dataset!$A$1:$X$1,0)</f>
        <v>18</v>
      </c>
      <c r="L25" s="2">
        <f>MATCH(E$5,Dataset!$A$1:$X$1,0)</f>
        <v>20</v>
      </c>
      <c r="M25" s="2">
        <f>MATCH(F$5,Dataset!$A$1:$X$1,0)</f>
        <v>22</v>
      </c>
    </row>
    <row r="26" spans="1:13" ht="14.4" x14ac:dyDescent="0.3">
      <c r="A26" s="7" t="s">
        <v>37</v>
      </c>
      <c r="B26" s="11">
        <f>INDEX(Dataset!$A$1:$X$40,Task_2!H26,Task_2!I26)</f>
        <v>49.1</v>
      </c>
      <c r="C26" s="11">
        <f>INDEX(Dataset!$A$1:$X$40,$H26,Task_2!J26)</f>
        <v>146.80000000000001</v>
      </c>
      <c r="D26" s="11">
        <f>INDEX(Dataset!$A$1:$X$40,$H26,Task_2!K26)</f>
        <v>90.9</v>
      </c>
      <c r="E26" s="11">
        <f>INDEX(Dataset!$A$1:$X$40,$H26,Task_2!L26)</f>
        <v>183.5</v>
      </c>
      <c r="F26" s="11">
        <f>INDEX(Dataset!$A$1:$X$40,$H26,Task_2!M26)</f>
        <v>90.9</v>
      </c>
      <c r="H26" s="2">
        <f>MATCH(A26,Dataset!$A$1:$A$40,0)</f>
        <v>38</v>
      </c>
      <c r="I26" s="2">
        <f>MATCH(B$5,Dataset!$A$1:$X$1,0)</f>
        <v>7</v>
      </c>
      <c r="J26" s="2">
        <f>MATCH(C$5,Dataset!$A$1:$X$1,0)</f>
        <v>14</v>
      </c>
      <c r="K26" s="2">
        <f>MATCH(D$5,Dataset!$A$1:$X$1,0)</f>
        <v>18</v>
      </c>
      <c r="L26" s="2">
        <f>MATCH(E$5,Dataset!$A$1:$X$1,0)</f>
        <v>20</v>
      </c>
      <c r="M26" s="2">
        <f>MATCH(F$5,Dataset!$A$1:$X$1,0)</f>
        <v>22</v>
      </c>
    </row>
    <row r="27" spans="1:13" ht="14.4" x14ac:dyDescent="0.3">
      <c r="A27" s="7" t="s">
        <v>39</v>
      </c>
      <c r="B27" s="11">
        <f>INDEX(Dataset!$A$1:$X$40,Task_2!H27,Task_2!I27)</f>
        <v>51.8</v>
      </c>
      <c r="C27" s="11">
        <f>INDEX(Dataset!$A$1:$X$40,$H27,Task_2!J27)</f>
        <v>156.4</v>
      </c>
      <c r="D27" s="11">
        <f>INDEX(Dataset!$A$1:$X$40,$H27,Task_2!K27)</f>
        <v>93.1</v>
      </c>
      <c r="E27" s="11">
        <f>INDEX(Dataset!$A$1:$X$40,$H27,Task_2!L27)</f>
        <v>188.1</v>
      </c>
      <c r="F27" s="11">
        <f>INDEX(Dataset!$A$1:$X$40,$H27,Task_2!M27)</f>
        <v>93.1</v>
      </c>
      <c r="H27" s="2">
        <f>MATCH(A27,Dataset!$A$1:$A$40,0)</f>
        <v>40</v>
      </c>
      <c r="I27" s="2">
        <f>MATCH(B$5,Dataset!$A$1:$X$1,0)</f>
        <v>7</v>
      </c>
      <c r="J27" s="2">
        <f>MATCH(C$5,Dataset!$A$1:$X$1,0)</f>
        <v>14</v>
      </c>
      <c r="K27" s="2">
        <f>MATCH(D$5,Dataset!$A$1:$X$1,0)</f>
        <v>18</v>
      </c>
      <c r="L27" s="2">
        <f>MATCH(E$5,Dataset!$A$1:$X$1,0)</f>
        <v>20</v>
      </c>
      <c r="M27" s="2">
        <f>MATCH(F$5,Dataset!$A$1:$X$1,0)</f>
        <v>22</v>
      </c>
    </row>
    <row r="28" spans="1:13" ht="14.4" x14ac:dyDescent="0.3">
      <c r="A28" s="18" t="s">
        <v>82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13" ht="14.4" x14ac:dyDescent="0.3">
      <c r="A29" s="18" t="s">
        <v>83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13" ht="14.4" x14ac:dyDescent="0.3">
      <c r="A30" s="18" t="s">
        <v>84</v>
      </c>
      <c r="B30" s="30">
        <f>AVERAGE(B6:B27)</f>
        <v>20.827272727272728</v>
      </c>
      <c r="C30" s="30">
        <f t="shared" ref="C30:F30" si="2">AVERAGE(C6:C27)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topLeftCell="A4" zoomScaleNormal="100" workbookViewId="0">
      <selection activeCell="B7" sqref="B7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152</v>
      </c>
    </row>
    <row r="5" spans="1:10" ht="18" x14ac:dyDescent="0.35">
      <c r="A5" s="42" t="s">
        <v>53</v>
      </c>
      <c r="B5" s="39"/>
    </row>
    <row r="6" spans="1:10" ht="18" x14ac:dyDescent="0.35">
      <c r="A6" s="42" t="s">
        <v>154</v>
      </c>
      <c r="B6" s="39"/>
    </row>
    <row r="7" spans="1:10" ht="18" x14ac:dyDescent="0.35">
      <c r="A7" s="42"/>
      <c r="B7" s="39" t="s">
        <v>181</v>
      </c>
    </row>
    <row r="9" spans="1:10" ht="23.4" x14ac:dyDescent="0.45">
      <c r="A9" s="17" t="s">
        <v>166</v>
      </c>
      <c r="I9" s="2"/>
      <c r="J9" s="2"/>
    </row>
    <row r="10" spans="1:10" x14ac:dyDescent="0.3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8" t="s">
        <v>122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163</v>
      </c>
    </row>
    <row r="15" spans="1:10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122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">
      <c r="A17" s="7" t="s">
        <v>123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">
      <c r="A18" s="7" t="s">
        <v>124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">
      <c r="A19" s="7" t="s">
        <v>125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">
      <c r="A20" s="7" t="s">
        <v>126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">
      <c r="A21" s="7" t="s">
        <v>127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">
      <c r="A22" s="7" t="s">
        <v>128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">
      <c r="A23" s="7" t="s">
        <v>129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">
      <c r="A24" s="7" t="s">
        <v>130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">
      <c r="A25" s="7" t="s">
        <v>131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">
      <c r="A26" s="7" t="s">
        <v>132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">
      <c r="A27" s="7" t="s">
        <v>133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">
      <c r="A28" s="7" t="s">
        <v>134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">
      <c r="A29" s="7" t="s">
        <v>135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">
      <c r="A30" s="7" t="s">
        <v>136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">
      <c r="A31" s="7" t="s">
        <v>137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">
      <c r="A32" s="7" t="s">
        <v>138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">
      <c r="A33" s="7" t="s">
        <v>139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">
      <c r="A34" s="7" t="s">
        <v>140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">
      <c r="A35" s="7" t="s">
        <v>141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">
      <c r="A36" s="7" t="s">
        <v>142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">
      <c r="A37" s="7" t="s">
        <v>143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">
      <c r="A38" s="7" t="s">
        <v>144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">
      <c r="A39" s="7" t="s">
        <v>145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">
      <c r="A40" s="7" t="s">
        <v>146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">
      <c r="A41" s="7" t="s">
        <v>147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">
      <c r="A42" s="7" t="s">
        <v>148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">
      <c r="A43" s="7" t="s">
        <v>149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">
      <c r="A44" s="7" t="s">
        <v>150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">
      <c r="A45" s="7" t="s">
        <v>151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">
      <c r="A46" s="7" t="s">
        <v>113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">
      <c r="A47" s="7" t="s">
        <v>114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">
      <c r="A48" s="7" t="s">
        <v>115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">
      <c r="A49" s="7" t="s">
        <v>116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">
      <c r="A50" s="7" t="s">
        <v>117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">
      <c r="A51" s="7" t="s">
        <v>118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">
      <c r="A52" s="7" t="s">
        <v>119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">
      <c r="A53" s="7" t="s">
        <v>120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">
      <c r="A54" s="8" t="s">
        <v>121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zoomScaleNormal="100" workbookViewId="0">
      <selection activeCell="E5" sqref="E5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1" t="s">
        <v>85</v>
      </c>
      <c r="B1" s="40" t="s">
        <v>167</v>
      </c>
    </row>
    <row r="2" spans="1:3" ht="18" x14ac:dyDescent="0.35">
      <c r="B2" s="39" t="s">
        <v>177</v>
      </c>
    </row>
    <row r="5" spans="1:3" ht="14.4" x14ac:dyDescent="0.3">
      <c r="B5" s="1" t="s">
        <v>152</v>
      </c>
    </row>
    <row r="6" spans="1:3" ht="14.4" x14ac:dyDescent="0.3">
      <c r="A6" s="3" t="s">
        <v>53</v>
      </c>
      <c r="B6" s="1"/>
    </row>
    <row r="7" spans="1:3" ht="14.4" x14ac:dyDescent="0.3">
      <c r="A7" s="3" t="s">
        <v>154</v>
      </c>
      <c r="B7" s="1"/>
      <c r="C7" s="2" t="s">
        <v>182</v>
      </c>
    </row>
    <row r="10" spans="1:3" ht="23.4" x14ac:dyDescent="0.45">
      <c r="A10" s="17" t="s">
        <v>163</v>
      </c>
    </row>
    <row r="11" spans="1:3" ht="14.4" x14ac:dyDescent="0.3">
      <c r="A11" s="31" t="s">
        <v>86</v>
      </c>
      <c r="B11" s="16" t="s">
        <v>87</v>
      </c>
      <c r="C11" s="16" t="s">
        <v>88</v>
      </c>
    </row>
    <row r="12" spans="1:3" ht="14.4" x14ac:dyDescent="0.3">
      <c r="A12" s="31">
        <v>44927</v>
      </c>
      <c r="B12" s="16" t="s">
        <v>59</v>
      </c>
      <c r="C12" s="16">
        <v>200</v>
      </c>
    </row>
    <row r="13" spans="1:3" ht="14.4" x14ac:dyDescent="0.3">
      <c r="A13" s="31">
        <v>44928</v>
      </c>
      <c r="B13" s="16" t="s">
        <v>60</v>
      </c>
      <c r="C13" s="16">
        <v>20</v>
      </c>
    </row>
    <row r="14" spans="1:3" ht="14.4" x14ac:dyDescent="0.3">
      <c r="A14" s="31">
        <v>44929</v>
      </c>
      <c r="B14" s="16" t="s">
        <v>61</v>
      </c>
      <c r="C14" s="16">
        <v>50</v>
      </c>
    </row>
    <row r="15" spans="1:3" ht="14.4" x14ac:dyDescent="0.3">
      <c r="A15" s="31">
        <v>44930</v>
      </c>
      <c r="B15" s="16" t="s">
        <v>62</v>
      </c>
      <c r="C15" s="16">
        <v>20</v>
      </c>
    </row>
    <row r="16" spans="1:3" ht="14.4" x14ac:dyDescent="0.3">
      <c r="A16" s="31">
        <v>44931</v>
      </c>
      <c r="B16" s="16" t="s">
        <v>63</v>
      </c>
      <c r="C16" s="16">
        <v>10</v>
      </c>
    </row>
    <row r="17" spans="1:3" ht="14.4" x14ac:dyDescent="0.3">
      <c r="A17" s="31">
        <v>44932</v>
      </c>
      <c r="B17" s="16" t="s">
        <v>155</v>
      </c>
      <c r="C17" s="16">
        <v>150</v>
      </c>
    </row>
    <row r="18" spans="1:3" ht="14.4" x14ac:dyDescent="0.3">
      <c r="A18" s="31">
        <v>44933</v>
      </c>
      <c r="B18" s="16" t="s">
        <v>156</v>
      </c>
      <c r="C18" s="16">
        <v>80</v>
      </c>
    </row>
    <row r="19" spans="1:3" ht="14.4" x14ac:dyDescent="0.3">
      <c r="A19" s="31">
        <v>44934</v>
      </c>
      <c r="B19" s="16" t="s">
        <v>157</v>
      </c>
      <c r="C19" s="16">
        <v>20</v>
      </c>
    </row>
    <row r="20" spans="1:3" ht="14.4" x14ac:dyDescent="0.3">
      <c r="A20" s="31">
        <v>44935</v>
      </c>
      <c r="B20" s="16" t="s">
        <v>158</v>
      </c>
      <c r="C20" s="16">
        <v>30</v>
      </c>
    </row>
    <row r="21" spans="1:3" ht="14.4" x14ac:dyDescent="0.3">
      <c r="A21" s="31">
        <v>44936</v>
      </c>
      <c r="B21" s="16" t="s">
        <v>159</v>
      </c>
      <c r="C21" s="16">
        <v>20</v>
      </c>
    </row>
    <row r="22" spans="1:3" ht="14.4" x14ac:dyDescent="0.3">
      <c r="B22" s="16" t="s">
        <v>160</v>
      </c>
      <c r="C22" s="24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35"/>
  <sheetViews>
    <sheetView topLeftCell="A9" zoomScaleNormal="100" workbookViewId="0">
      <selection activeCell="D20" sqref="D20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98</v>
      </c>
      <c r="B1" s="40" t="s">
        <v>175</v>
      </c>
    </row>
    <row r="3" spans="1:14" ht="14.4" x14ac:dyDescent="0.3">
      <c r="B3" s="1" t="s">
        <v>152</v>
      </c>
    </row>
    <row r="4" spans="1:14" ht="18" x14ac:dyDescent="0.35">
      <c r="A4" s="42" t="s">
        <v>53</v>
      </c>
      <c r="B4" s="1"/>
    </row>
    <row r="5" spans="1:14" ht="18" x14ac:dyDescent="0.35">
      <c r="A5" s="42" t="s">
        <v>154</v>
      </c>
      <c r="B5" s="1"/>
    </row>
    <row r="6" spans="1:14" ht="14.4" x14ac:dyDescent="0.3">
      <c r="A6" s="3"/>
      <c r="B6" s="1"/>
    </row>
    <row r="8" spans="1:14" ht="23.4" x14ac:dyDescent="0.45">
      <c r="A8" s="17" t="s">
        <v>163</v>
      </c>
      <c r="M8" s="17" t="s">
        <v>164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0" spans="1:14" x14ac:dyDescent="0.3">
      <c r="D20" s="2" t="s">
        <v>185</v>
      </c>
    </row>
    <row r="21" spans="1:14" ht="23.4" x14ac:dyDescent="0.45">
      <c r="A21" s="17" t="s">
        <v>168</v>
      </c>
    </row>
    <row r="22" spans="1:14" ht="14.4" x14ac:dyDescent="0.3">
      <c r="A22" s="13" t="s">
        <v>100</v>
      </c>
      <c r="B22" s="16" t="s">
        <v>101</v>
      </c>
      <c r="C22" s="15" t="s">
        <v>102</v>
      </c>
      <c r="D22" s="2" t="s">
        <v>183</v>
      </c>
      <c r="E22" s="2" t="s">
        <v>183</v>
      </c>
      <c r="F22" s="2" t="s">
        <v>184</v>
      </c>
      <c r="G22" s="2" t="s">
        <v>184</v>
      </c>
    </row>
    <row r="23" spans="1:14" ht="14.4" x14ac:dyDescent="0.3">
      <c r="A23" s="7">
        <v>10100</v>
      </c>
      <c r="B23" s="11">
        <v>10102</v>
      </c>
      <c r="C23" s="44">
        <f t="shared" ref="C23:C35" si="0">INDEX($B$10:$J$18,F23,G23)</f>
        <v>95</v>
      </c>
      <c r="D23" s="2" t="str">
        <f>VLOOKUP(A23,$M$10:$N$18,2,0)</f>
        <v>A</v>
      </c>
      <c r="E23" s="2" t="str">
        <f>VLOOKUP(B23,$M$10:$N$18,2,0)</f>
        <v>B</v>
      </c>
      <c r="F23" s="2">
        <f>MATCH(D23,$A$10:$A$18,0)</f>
        <v>1</v>
      </c>
      <c r="G23" s="2">
        <f>MATCH(E23,$B$9:$J$9,0)</f>
        <v>2</v>
      </c>
    </row>
    <row r="24" spans="1:14" ht="14.4" x14ac:dyDescent="0.3">
      <c r="A24" s="7">
        <v>10100</v>
      </c>
      <c r="B24" s="11">
        <v>10104</v>
      </c>
      <c r="C24" s="2">
        <f t="shared" si="0"/>
        <v>-1</v>
      </c>
      <c r="D24" s="2" t="str">
        <f t="shared" ref="D24:E35" si="1">VLOOKUP(A24,$M$10:$N$18,2,0)</f>
        <v>A</v>
      </c>
      <c r="E24" s="2" t="str">
        <f t="shared" si="1"/>
        <v>C</v>
      </c>
      <c r="F24" s="2">
        <f t="shared" ref="F24:F35" si="2">MATCH(D24,$A$10:$A$18,0)</f>
        <v>1</v>
      </c>
      <c r="G24" s="2">
        <f t="shared" ref="G24:G35" si="3">MATCH(E24,$B$9:$J$9,0)</f>
        <v>3</v>
      </c>
    </row>
    <row r="25" spans="1:14" ht="14.4" x14ac:dyDescent="0.3">
      <c r="A25" s="7">
        <v>10108</v>
      </c>
      <c r="B25" s="11">
        <v>10102</v>
      </c>
      <c r="C25" s="2">
        <f t="shared" si="0"/>
        <v>160</v>
      </c>
      <c r="D25" s="2" t="str">
        <f t="shared" si="1"/>
        <v>E</v>
      </c>
      <c r="E25" s="2" t="str">
        <f t="shared" si="1"/>
        <v>B</v>
      </c>
      <c r="F25" s="2">
        <f t="shared" si="2"/>
        <v>5</v>
      </c>
      <c r="G25" s="2">
        <f t="shared" si="3"/>
        <v>2</v>
      </c>
    </row>
    <row r="26" spans="1:14" ht="14.4" x14ac:dyDescent="0.3">
      <c r="A26" s="7">
        <v>10100</v>
      </c>
      <c r="B26" s="11">
        <v>10106</v>
      </c>
      <c r="C26" s="2">
        <f t="shared" si="0"/>
        <v>185</v>
      </c>
      <c r="D26" s="2" t="str">
        <f t="shared" si="1"/>
        <v>A</v>
      </c>
      <c r="E26" s="2" t="str">
        <f t="shared" si="1"/>
        <v>D</v>
      </c>
      <c r="F26" s="2">
        <f t="shared" si="2"/>
        <v>1</v>
      </c>
      <c r="G26" s="2">
        <f t="shared" si="3"/>
        <v>4</v>
      </c>
    </row>
    <row r="27" spans="1:14" ht="14.4" x14ac:dyDescent="0.3">
      <c r="A27" s="7">
        <v>10108</v>
      </c>
      <c r="B27" s="11">
        <v>10110</v>
      </c>
      <c r="C27" s="2">
        <f t="shared" si="0"/>
        <v>50</v>
      </c>
      <c r="D27" s="2" t="str">
        <f t="shared" si="1"/>
        <v>E</v>
      </c>
      <c r="E27" s="2" t="str">
        <f t="shared" si="1"/>
        <v>F</v>
      </c>
      <c r="F27" s="2">
        <f t="shared" si="2"/>
        <v>5</v>
      </c>
      <c r="G27" s="2">
        <f t="shared" si="3"/>
        <v>6</v>
      </c>
    </row>
    <row r="28" spans="1:14" ht="14.4" x14ac:dyDescent="0.3">
      <c r="A28" s="7">
        <v>10102</v>
      </c>
      <c r="B28" s="11">
        <v>10104</v>
      </c>
      <c r="C28" s="2">
        <f t="shared" si="0"/>
        <v>-1</v>
      </c>
      <c r="D28" s="2" t="str">
        <f t="shared" si="1"/>
        <v>B</v>
      </c>
      <c r="E28" s="2" t="str">
        <f t="shared" si="1"/>
        <v>C</v>
      </c>
      <c r="F28" s="2">
        <f t="shared" si="2"/>
        <v>2</v>
      </c>
      <c r="G28" s="2">
        <f t="shared" si="3"/>
        <v>3</v>
      </c>
    </row>
    <row r="29" spans="1:14" ht="14.4" x14ac:dyDescent="0.3">
      <c r="A29" s="7">
        <v>10106</v>
      </c>
      <c r="B29" s="11">
        <v>10108</v>
      </c>
      <c r="C29" s="2">
        <f t="shared" si="0"/>
        <v>70</v>
      </c>
      <c r="D29" s="2" t="str">
        <f t="shared" si="1"/>
        <v>D</v>
      </c>
      <c r="E29" s="2" t="str">
        <f t="shared" si="1"/>
        <v>E</v>
      </c>
      <c r="F29" s="2">
        <f t="shared" si="2"/>
        <v>4</v>
      </c>
      <c r="G29" s="2">
        <f t="shared" si="3"/>
        <v>5</v>
      </c>
    </row>
    <row r="30" spans="1:14" ht="14.4" x14ac:dyDescent="0.3">
      <c r="A30" s="7">
        <v>10102</v>
      </c>
      <c r="B30" s="11">
        <v>10106</v>
      </c>
      <c r="C30" s="2">
        <f t="shared" si="0"/>
        <v>90</v>
      </c>
      <c r="D30" s="2" t="str">
        <f t="shared" si="1"/>
        <v>B</v>
      </c>
      <c r="E30" s="2" t="str">
        <f t="shared" si="1"/>
        <v>D</v>
      </c>
      <c r="F30" s="2">
        <f t="shared" si="2"/>
        <v>2</v>
      </c>
      <c r="G30" s="2">
        <f t="shared" si="3"/>
        <v>4</v>
      </c>
    </row>
    <row r="31" spans="1:14" ht="14.4" x14ac:dyDescent="0.3">
      <c r="A31" s="7">
        <v>10110</v>
      </c>
      <c r="B31" s="11">
        <v>10114</v>
      </c>
      <c r="C31" s="2">
        <f t="shared" si="0"/>
        <v>180</v>
      </c>
      <c r="D31" s="2" t="str">
        <f t="shared" si="1"/>
        <v>F</v>
      </c>
      <c r="E31" s="2" t="str">
        <f t="shared" si="1"/>
        <v>H</v>
      </c>
      <c r="F31" s="2">
        <f t="shared" si="2"/>
        <v>6</v>
      </c>
      <c r="G31" s="2">
        <f t="shared" si="3"/>
        <v>8</v>
      </c>
    </row>
    <row r="32" spans="1:14" ht="14.4" x14ac:dyDescent="0.3">
      <c r="A32" s="7">
        <v>10104</v>
      </c>
      <c r="B32" s="11">
        <v>10106</v>
      </c>
      <c r="C32" s="2">
        <f t="shared" si="0"/>
        <v>60</v>
      </c>
      <c r="D32" s="2" t="str">
        <f t="shared" si="1"/>
        <v>C</v>
      </c>
      <c r="E32" s="2" t="str">
        <f t="shared" si="1"/>
        <v>D</v>
      </c>
      <c r="F32" s="2">
        <f t="shared" si="2"/>
        <v>3</v>
      </c>
      <c r="G32" s="2">
        <f t="shared" si="3"/>
        <v>4</v>
      </c>
    </row>
    <row r="33" spans="1:7" ht="14.4" x14ac:dyDescent="0.3">
      <c r="A33" s="7">
        <v>10110</v>
      </c>
      <c r="B33" s="11">
        <v>10112</v>
      </c>
      <c r="C33" s="2">
        <f t="shared" si="0"/>
        <v>115</v>
      </c>
      <c r="D33" s="2" t="str">
        <f t="shared" si="1"/>
        <v>F</v>
      </c>
      <c r="E33" s="2" t="str">
        <f t="shared" si="1"/>
        <v>G</v>
      </c>
      <c r="F33" s="2">
        <f t="shared" si="2"/>
        <v>6</v>
      </c>
      <c r="G33" s="2">
        <f t="shared" si="3"/>
        <v>7</v>
      </c>
    </row>
    <row r="34" spans="1:7" ht="14.4" x14ac:dyDescent="0.3">
      <c r="A34" s="7">
        <v>10100</v>
      </c>
      <c r="B34" s="11">
        <v>10114</v>
      </c>
      <c r="C34" s="2">
        <f t="shared" si="0"/>
        <v>480</v>
      </c>
      <c r="D34" s="2" t="str">
        <f t="shared" si="1"/>
        <v>A</v>
      </c>
      <c r="E34" s="2" t="str">
        <f t="shared" si="1"/>
        <v>H</v>
      </c>
      <c r="F34" s="2">
        <f t="shared" si="2"/>
        <v>1</v>
      </c>
      <c r="G34" s="2">
        <f t="shared" si="3"/>
        <v>8</v>
      </c>
    </row>
    <row r="35" spans="1:7" ht="14.4" x14ac:dyDescent="0.3">
      <c r="A35" s="8">
        <v>10112</v>
      </c>
      <c r="B35" s="12">
        <v>10116</v>
      </c>
      <c r="C35" s="2">
        <f t="shared" si="0"/>
        <v>105</v>
      </c>
      <c r="D35" s="2" t="str">
        <f t="shared" si="1"/>
        <v>G</v>
      </c>
      <c r="E35" s="2" t="str">
        <f t="shared" si="1"/>
        <v>I</v>
      </c>
      <c r="F35" s="2">
        <f t="shared" si="2"/>
        <v>7</v>
      </c>
      <c r="G35" s="2">
        <f t="shared" si="3"/>
        <v>9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91910</cp:lastModifiedBy>
  <dcterms:created xsi:type="dcterms:W3CDTF">2015-02-10T17:33:11Z</dcterms:created>
  <dcterms:modified xsi:type="dcterms:W3CDTF">2023-12-10T12:40:12Z</dcterms:modified>
</cp:coreProperties>
</file>